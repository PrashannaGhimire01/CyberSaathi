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<sst xmlns="http://schemas.openxmlformats.org/spreadsheetml/2006/main" count="83" uniqueCount="81">
  <si>
    <t xml:space="preserve">CyberSaathi — Evaluation Results Workbook</t>
  </si>
  <si>
    <t xml:space="preserve">How to use this file</t>
  </si>
  <si>
    <t xml:space="preserve">1. Run each session using docs/EVALUATION_MATERIALS.md. Fill one row of the 'Data' tab per participant (P1–P8).</t>
  </si>
  <si>
    <t xml:space="preserve">2. Type into the pale-yellow cells only. The white columns on the right (Accuracy change, WITH mean, etc.) calculate automatically — do not edit them.</t>
  </si>
  <si>
    <t xml:space="preserve">3. The 'Summary' tab updates itself as you enter data and gives the numbers for your evaluation chapter.</t>
  </si>
  <si>
    <t xml:space="preserve">What to enter in each column (Data tab)</t>
  </si>
  <si>
    <t xml:space="preserve">• Group (A/B): counterbalancing group from the materials (odd participants = A, even = B).</t>
  </si>
  <si>
    <t xml:space="preserve">• Pre / Post correct (0-8): how many of the 8 messages the participant judged correctly.</t>
  </si>
  <si>
    <t xml:space="preserve">• Pre / Post scams missed (0-4): how many actual scams they wrongly called 'safe' (the dangerous error).</t>
  </si>
  <si>
    <t xml:space="preserve">• RQ1 WITH / WITHOUT (0,1,2 each): comprehension score for the 3 with-explanation and 3 verdict-only messages.</t>
  </si>
  <si>
    <t xml:space="preserve">• Q1–Q6: questionnaire ratings, 1 (strongly disagree) to 5 (strongly agree).</t>
  </si>
  <si>
    <t xml:space="preserve">Example row (for format only — do NOT type this into the Data tab):</t>
  </si>
  <si>
    <t xml:space="preserve">Participant</t>
  </si>
  <si>
    <t xml:space="preserve">Group</t>
  </si>
  <si>
    <t xml:space="preserve">Pre correct</t>
  </si>
  <si>
    <t xml:space="preserve">Post correct</t>
  </si>
  <si>
    <t xml:space="preserve">Pre scams missed</t>
  </si>
  <si>
    <t xml:space="preserve">Post scams missed</t>
  </si>
  <si>
    <t xml:space="preserve">WITH (3)</t>
  </si>
  <si>
    <t xml:space="preserve">WITHOUT (3)</t>
  </si>
  <si>
    <t xml:space="preserve">Q1..Q6</t>
  </si>
  <si>
    <t xml:space="preserve">P1</t>
  </si>
  <si>
    <t xml:space="preserve">A</t>
  </si>
  <si>
    <t xml:space="preserve">5</t>
  </si>
  <si>
    <t xml:space="preserve">7</t>
  </si>
  <si>
    <t xml:space="preserve">2</t>
  </si>
  <si>
    <t xml:space="preserve">0</t>
  </si>
  <si>
    <t xml:space="preserve">2,2,1</t>
  </si>
  <si>
    <t xml:space="preserve">1,0,1</t>
  </si>
  <si>
    <t xml:space="preserve">4,5,4,5,4,5</t>
  </si>
  <si>
    <t xml:space="preserve">Group (A/B)</t>
  </si>
  <si>
    <t xml:space="preserve">Language</t>
  </si>
  <si>
    <t xml:space="preserve">Date</t>
  </si>
  <si>
    <t xml:space="preserve">Pre correct (0-8)</t>
  </si>
  <si>
    <t xml:space="preserve">Pre scams missed (0-4)</t>
  </si>
  <si>
    <t xml:space="preserve">Post correct (0-8)</t>
  </si>
  <si>
    <t xml:space="preserve">Post scams missed (0-4)</t>
  </si>
  <si>
    <t xml:space="preserve">RQ1 WITH 1 (0-2)</t>
  </si>
  <si>
    <t xml:space="preserve">RQ1 WITH 2</t>
  </si>
  <si>
    <t xml:space="preserve">RQ1 WITH 3</t>
  </si>
  <si>
    <t xml:space="preserve">RQ1 WITHOUT 1 (0-2)</t>
  </si>
  <si>
    <t xml:space="preserve">RQ1 WITHOUT 2</t>
  </si>
  <si>
    <t xml:space="preserve">RQ1 WITHOUT 3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</si>
  <si>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</si>
  <si>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</si>
  <si>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</si>
  <si>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</si>
  <si>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</si>
  <si>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</si>
  <si>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Accuracy change</t>
  </si>
  <si>
    <t xml:space="preserve">Scams-missed change</t>
  </si>
  <si>
    <t xml:space="preserve">WITH mean</t>
  </si>
  <si>
    <t xml:space="preserve">WITHOUT mean</t>
  </si>
  <si>
    <t xml:space="preserve">RQ1 diff (WITH-WITHOUT)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</si>
  <si>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</si>
  <si>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</si>
  <si>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</si>
  <si>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</si>
  <si>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</si>
  <si>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</si>
  <si>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</si>
  <si>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CyberSaathi — Evaluation Summary (N = 8)</t>
  </si>
  <si>
    <t xml:space="preserve">Detection ability (RQ4)</t>
  </si>
  <si>
    <t xml:space="preserve">Mean pre-test correct (of 8)</t>
  </si>
  <si>
    <t xml:space="preserve">Mean post-test correct (of 8)</t>
  </si>
  <si>
    <t xml:space="preserve">Mean accuracy change (post − pre)</t>
  </si>
  <si>
    <t xml:space="preserve">Mean scams missed — pre (of 4)</t>
  </si>
  <si>
    <t xml:space="preserve">Mean scams missed — post (of 4)</t>
  </si>
  <si>
    <t xml:space="preserve">Mean scams-missed change (post − pre)</t>
  </si>
  <si>
    <t xml:space="preserve">Participants who improved (change &gt; 0)</t>
  </si>
  <si>
    <t xml:space="preserve">Explanations &amp; understanding (RQ1)</t>
  </si>
  <si>
    <t xml:space="preserve">Mean comprehension WITH explanation (0-2)</t>
  </si>
  <si>
    <t xml:space="preserve">Mean comprehension WITHOUT explanation (0-2)</t>
  </si>
  <si>
    <t xml:space="preserve">Mean difference (WITH − WITHOUT)</t>
  </si>
  <si>
    <t xml:space="preserve">Questionnaire — mean rating (1-5)</t>
  </si>
  <si>
    <t xml:space="preserve">Q1 Explanations helped me understand why</t>
  </si>
  <si>
    <t xml:space="preserve">Q2 Language was easy to understand</t>
  </si>
  <si>
    <t xml:space="preserve">Q3 I trust the app's judgement</t>
  </si>
  <si>
    <t xml:space="preserve">Q4 Nepali explanations were helpful</t>
  </si>
  <si>
    <t xml:space="preserve">Q5 More confident spotting scams after use</t>
  </si>
  <si>
    <t xml:space="preserve">Q6 Would use the app on my own phone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</si>
</sst>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FAE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5FAE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5FAE"/>
        <bgColor rgb="FF3366FF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CCFFFF"/>
      <rgbColor rgb="FF660066"/>
      <rgbColor rgb="FFFF8080"/>
      <rgbColor rgb="FF1F5FAE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26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7" customFormat="false" ht="26.85" hidden="false" customHeight="false" outlineLevel="0" collapsed="false">
      <c r="A17" s="4" t="s">
        <v>12</v>
      </c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18</v>
      </c>
      <c r="H17" s="4" t="s">
        <v>19</v>
      </c>
      <c r="I17" s="4" t="s">
        <v>20</v>
      </c>
    </row>
    <row r="18" customFormat="false" ht="15" hidden="false" customHeight="false" outlineLevel="0" collapsed="false">
      <c r="A18" s="5" t="s">
        <v>21</v>
      </c>
      <c r="B18" s="5" t="s">
        <v>22</v>
      </c>
      <c r="C18" s="5" t="s">
        <v>23</v>
      </c>
      <c r="D18" s="5" t="s">
        <v>24</v>
      </c>
      <c r="E18" s="5" t="s">
        <v>25</v>
      </c>
      <c r="F18" s="5" t="s">
        <v>26</v>
      </c>
      <c r="G18" s="5" t="s">
        <v>27</v>
      </c>
      <c r="H18" s="5" t="s">
        <v>28</v>
      </c>
      <c r="I18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20" min="15" style="0" width="5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0"/>
    <col collapsed="false" customWidth="true" hidden="false" outlineLevel="0" max="24" min="24" style="0" width="11"/>
    <col collapsed="false" customWidth="true" hidden="false" outlineLevel="0" max="25" min="25" style="0" width="14"/>
  </cols>
  <sheetData>
    <row r="1" customFormat="false" ht="45.75" hidden="false" customHeight="true" outlineLevel="0" collapsed="false">
      <c r="A1" s="4" t="s">
        <v>12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  <c r="T1" s="4" t="s">
        <v>48</v>
      </c>
      <c r="U1" s="4" t="s">
        <v>49</v>
      </c>
      <c r="V1" s="4" t="s">
        <v>50</v>
      </c>
      <c r="W1" s="4" t="s">
        <v>51</v>
      </c>
      <c r="X1" s="4" t="s">
        <v>52</v>
      </c>
      <c r="Y1" s="4" t="s">
        <v>53</v>
      </c>
    </row>
    <row r="2" customFormat="false" ht="15" hidden="false" customHeight="false" outlineLevel="0" collapsed="false">
      <c r="A2" s="5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5" t="str">
        <f aca="false">IF(AND(E2="",G2=""),"",G2-E2)</f>
        <v/>
      </c>
      <c r="V2" s="5" t="str">
        <f aca="false">IF(AND(F2="",H2=""),"",H2-F2)</f>
        <v/>
      </c>
      <c r="W2" s="5" t="str">
        <f aca="false">IFERROR(AVERAGE(I2:K2),"")</f>
        <v/>
      </c>
      <c r="X2" s="5" t="str">
        <f aca="false">IFERROR(AVERAGE(L2:N2),"")</f>
        <v/>
      </c>
      <c r="Y2" s="5" t="str">
        <f aca="false">IFERROR(AVERAGE(I2:K2)-AVERAGE(L2:N2),"")</f>
        <v/>
      </c>
    </row>
    <row r="3" customFormat="false" ht="15" hidden="false" customHeight="false" outlineLevel="0" collapsed="false">
      <c r="A3" s="5" t="s">
        <v>54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5" t="str">
        <f aca="false">IF(AND(E3="",G3=""),"",G3-E3)</f>
        <v/>
      </c>
      <c r="V3" s="5" t="str">
        <f aca="false">IF(AND(F3="",H3=""),"",H3-F3)</f>
        <v/>
      </c>
      <c r="W3" s="5" t="str">
        <f aca="false">IFERROR(AVERAGE(I3:K3),"")</f>
        <v/>
      </c>
      <c r="X3" s="5" t="str">
        <f aca="false">IFERROR(AVERAGE(L3:N3),"")</f>
        <v/>
      </c>
      <c r="Y3" s="5" t="str">
        <f aca="false">IFERROR(AVERAGE(I3:K3)-AVERAGE(L3:N3),"")</f>
        <v/>
      </c>
    </row>
    <row r="4" customFormat="false" ht="15" hidden="false" customHeight="false" outlineLevel="0" collapsed="false">
      <c r="A4" s="5" t="s">
        <v>55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5" t="str">
        <f aca="false">IF(AND(E4="",G4=""),"",G4-E4)</f>
        <v/>
      </c>
      <c r="V4" s="5" t="str">
        <f aca="false">IF(AND(F4="",H4=""),"",H4-F4)</f>
        <v/>
      </c>
      <c r="W4" s="5" t="str">
        <f aca="false">IFERROR(AVERAGE(I4:K4),"")</f>
        <v/>
      </c>
      <c r="X4" s="5" t="str">
        <f aca="false">IFERROR(AVERAGE(L4:N4),"")</f>
        <v/>
      </c>
      <c r="Y4" s="5" t="str">
        <f aca="false">IFERROR(AVERAGE(I4:K4)-AVERAGE(L4:N4),"")</f>
        <v/>
      </c>
    </row>
    <row r="5" customFormat="false" ht="15" hidden="false" customHeight="false" outlineLevel="0" collapsed="false">
      <c r="A5" s="5" t="s">
        <v>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5" t="str">
        <f aca="false">IF(AND(E5="",G5=""),"",G5-E5)</f>
        <v/>
      </c>
      <c r="V5" s="5" t="str">
        <f aca="false">IF(AND(F5="",H5=""),"",H5-F5)</f>
        <v/>
      </c>
      <c r="W5" s="5" t="str">
        <f aca="false">IFERROR(AVERAGE(I5:K5),"")</f>
        <v/>
      </c>
      <c r="X5" s="5" t="str">
        <f aca="false">IFERROR(AVERAGE(L5:N5),"")</f>
        <v/>
      </c>
      <c r="Y5" s="5" t="str">
        <f aca="false">IFERROR(AVERAGE(I5:K5)-AVERAGE(L5:N5),"")</f>
        <v/>
      </c>
    </row>
    <row r="6" customFormat="false" ht="15" hidden="false" customHeight="false" outlineLevel="0" collapsed="false">
      <c r="A6" s="5" t="s">
        <v>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5" t="str">
        <f aca="false">IF(AND(E6="",G6=""),"",G6-E6)</f>
        <v/>
      </c>
      <c r="V6" s="5" t="str">
        <f aca="false">IF(AND(F6="",H6=""),"",H6-F6)</f>
        <v/>
      </c>
      <c r="W6" s="5" t="str">
        <f aca="false">IFERROR(AVERAGE(I6:K6),"")</f>
        <v/>
      </c>
      <c r="X6" s="5" t="str">
        <f aca="false">IFERROR(AVERAGE(L6:N6),"")</f>
        <v/>
      </c>
      <c r="Y6" s="5" t="str">
        <f aca="false">IFERROR(AVERAGE(I6:K6)-AVERAGE(L6:N6),"")</f>
        <v/>
      </c>
    </row>
    <row r="7" customFormat="false" ht="15" hidden="false" customHeight="false" outlineLevel="0" collapsed="false">
      <c r="A7" s="5" t="s">
        <v>58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 t="str">
        <f aca="false">IF(AND(E7="",G7=""),"",G7-E7)</f>
        <v/>
      </c>
      <c r="V7" s="5" t="str">
        <f aca="false">IF(AND(F7="",H7=""),"",H7-F7)</f>
        <v/>
      </c>
      <c r="W7" s="5" t="str">
        <f aca="false">IFERROR(AVERAGE(I7:K7),"")</f>
        <v/>
      </c>
      <c r="X7" s="5" t="str">
        <f aca="false">IFERROR(AVERAGE(L7:N7),"")</f>
        <v/>
      </c>
      <c r="Y7" s="5" t="str">
        <f aca="false">IFERROR(AVERAGE(I7:K7)-AVERAGE(L7:N7),"")</f>
        <v/>
      </c>
    </row>
    <row r="8" customFormat="false" ht="15" hidden="false" customHeight="false" outlineLevel="0" collapsed="false">
      <c r="A8" s="5" t="s">
        <v>59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5" t="str">
        <f aca="false">IF(AND(E8="",G8=""),"",G8-E8)</f>
        <v/>
      </c>
      <c r="V8" s="5" t="str">
        <f aca="false">IF(AND(F8="",H8=""),"",H8-F8)</f>
        <v/>
      </c>
      <c r="W8" s="5" t="str">
        <f aca="false">IFERROR(AVERAGE(I8:K8),"")</f>
        <v/>
      </c>
      <c r="X8" s="5" t="str">
        <f aca="false">IFERROR(AVERAGE(L8:N8),"")</f>
        <v/>
      </c>
      <c r="Y8" s="5" t="str">
        <f aca="false">IFERROR(AVERAGE(I8:K8)-AVERAGE(L8:N8),"")</f>
        <v/>
      </c>
    </row>
    <row r="9" customFormat="false" ht="15" hidden="false" customHeight="false" outlineLevel="0" collapsed="false">
      <c r="A9" s="5" t="s">
        <v>60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5" t="str">
        <f aca="false">IF(AND(E9="",G9=""),"",G9-E9)</f>
        <v/>
      </c>
      <c r="V9" s="5" t="str">
        <f aca="false">IF(AND(F9="",H9=""),"",H9-F9)</f>
        <v/>
      </c>
      <c r="W9" s="5" t="str">
        <f aca="false">IFERROR(AVERAGE(I9:K9),"")</f>
        <v/>
      </c>
      <c r="X9" s="5" t="str">
        <f aca="false">IFERROR(AVERAGE(L9:N9),"")</f>
        <v/>
      </c>
      <c r="Y9" s="5" t="str">
        <f aca="false">IFERROR(AVERAGE(I9:K9)-AVERAGE(L9:N9),"")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61</v>
      </c>
    </row>
    <row r="3" customFormat="false" ht="15" hidden="false" customHeight="false" outlineLevel="0" collapsed="false">
      <c r="A3" s="3" t="s">
        <v>62</v>
      </c>
    </row>
    <row r="4" customFormat="false" ht="15" hidden="false" customHeight="false" outlineLevel="0" collapsed="false">
      <c r="A4" s="2" t="s">
        <v>63</v>
      </c>
      <c r="B4" s="8" t="str">
        <f aca="false">IFERROR(AVERAGE(Data!E2:E9),"—")</f>
        <v>—</v>
      </c>
    </row>
    <row r="5" customFormat="false" ht="15" hidden="false" customHeight="false" outlineLevel="0" collapsed="false">
      <c r="A5" s="2" t="s">
        <v>64</v>
      </c>
      <c r="B5" s="8" t="str">
        <f aca="false">IFERROR(AVERAGE(Data!G2:G9),"—")</f>
        <v>—</v>
      </c>
    </row>
    <row r="6" customFormat="false" ht="15" hidden="false" customHeight="false" outlineLevel="0" collapsed="false">
      <c r="A6" s="2" t="s">
        <v>65</v>
      </c>
      <c r="B6" s="8" t="str">
        <f aca="false">IFERROR(AVERAGE(Data!U2:U9),"—")</f>
        <v>—</v>
      </c>
    </row>
    <row r="7" customFormat="false" ht="15" hidden="false" customHeight="false" outlineLevel="0" collapsed="false">
      <c r="A7" s="2" t="s">
        <v>66</v>
      </c>
      <c r="B7" s="8" t="str">
        <f aca="false">IFERROR(AVERAGE(Data!F2:F9),"—")</f>
        <v>—</v>
      </c>
    </row>
    <row r="8" customFormat="false" ht="15" hidden="false" customHeight="false" outlineLevel="0" collapsed="false">
      <c r="A8" s="2" t="s">
        <v>67</v>
      </c>
      <c r="B8" s="8" t="str">
        <f aca="false">IFERROR(AVERAGE(Data!H2:H9),"—")</f>
        <v>—</v>
      </c>
    </row>
    <row r="9" customFormat="false" ht="15" hidden="false" customHeight="false" outlineLevel="0" collapsed="false">
      <c r="A9" s="2" t="s">
        <v>68</v>
      </c>
      <c r="B9" s="8" t="str">
        <f aca="false">IFERROR(AVERAGE(Data!V2:V9),"—")</f>
        <v>—</v>
      </c>
    </row>
    <row r="10" customFormat="false" ht="15" hidden="false" customHeight="false" outlineLevel="0" collapsed="false">
      <c r="A10" s="2" t="s">
        <v>69</v>
      </c>
      <c r="B10" s="8" t="n">
        <f aca="false">COUNTIF(Data!U2:U9,"&gt;0")</f>
        <v>0</v>
      </c>
    </row>
    <row r="12" customFormat="false" ht="15" hidden="false" customHeight="false" outlineLevel="0" collapsed="false">
      <c r="A12" s="3" t="s">
        <v>70</v>
      </c>
    </row>
    <row r="13" customFormat="false" ht="26.85" hidden="false" customHeight="false" outlineLevel="0" collapsed="false">
      <c r="A13" s="2" t="s">
        <v>71</v>
      </c>
      <c r="B13" s="8" t="str">
        <f aca="false">IFERROR(AVERAGE(Data!W2:W9),"—")</f>
        <v>—</v>
      </c>
    </row>
    <row r="14" customFormat="false" ht="26.85" hidden="false" customHeight="false" outlineLevel="0" collapsed="false">
      <c r="A14" s="2" t="s">
        <v>72</v>
      </c>
      <c r="B14" s="8" t="str">
        <f aca="false">IFERROR(AVERAGE(Data!X2:X9),"—")</f>
        <v>—</v>
      </c>
    </row>
    <row r="15" customFormat="false" ht="15" hidden="false" customHeight="false" outlineLevel="0" collapsed="false">
      <c r="A15" s="2" t="s">
        <v>73</v>
      </c>
      <c r="B15" s="8" t="str">
        <f aca="false">IFERROR(AVERAGE(Data!Y2:Y9),"—")</f>
        <v>—</v>
      </c>
    </row>
    <row r="17" customFormat="false" ht="15" hidden="false" customHeight="false" outlineLevel="0" collapsed="false">
      <c r="A17" s="3" t="s">
        <v>74</v>
      </c>
    </row>
    <row r="18" customFormat="false" ht="15" hidden="false" customHeight="false" outlineLevel="0" collapsed="false">
      <c r="A18" s="2" t="s">
        <v>75</v>
      </c>
      <c r="B18" s="8" t="str">
        <f aca="false">IFERROR(AVERAGE(Data!O2:O9),"—")</f>
        <v>—</v>
      </c>
    </row>
    <row r="19" customFormat="false" ht="15" hidden="false" customHeight="false" outlineLevel="0" collapsed="false">
      <c r="A19" s="2" t="s">
        <v>76</v>
      </c>
      <c r="B19" s="8" t="str">
        <f aca="false">IFERROR(AVERAGE(Data!P2:P9),"—")</f>
        <v>—</v>
      </c>
    </row>
    <row r="20" customFormat="false" ht="15" hidden="false" customHeight="false" outlineLevel="0" collapsed="false">
      <c r="A20" s="2" t="s">
        <v>77</v>
      </c>
      <c r="B20" s="8" t="str">
        <f aca="false">IFERROR(AVERAGE(Data!Q2:Q9),"—")</f>
        <v>—</v>
      </c>
    </row>
    <row r="21" customFormat="false" ht="15" hidden="false" customHeight="false" outlineLevel="0" collapsed="false">
      <c r="A21" s="2" t="s">
        <v>78</v>
      </c>
      <c r="B21" s="8" t="str">
        <f aca="false">IFERROR(AVERAGE(Data!R2:R9),"—")</f>
        <v>—</v>
      </c>
    </row>
    <row r="22" customFormat="false" ht="15" hidden="false" customHeight="false" outlineLevel="0" collapsed="false">
      <c r="A22" s="2" t="s">
        <v>79</v>
      </c>
      <c r="B22" s="8" t="str">
        <f aca="false">IFERROR(AVERAGE(Data!S2:S9),"—")</f>
        <v>—</v>
      </c>
    </row>
    <row r="23" customFormat="false" ht="15" hidden="false" customHeight="false" outlineLevel="0" collapsed="false">
      <c r="A23" s="2" t="s">
        <v>80</v>
      </c>
      <c r="B23" s="8" t="str">
        <f aca="false">IFERROR(AVERAGE(Data!T2:T9),"—")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2026-09-30T12:13:50Z</dcterms:created>
  <dc:creator>openpyxl</dc:creator>
  <dc:description/>
  <dc:language>en-US</dc:language>
  <cp:lastModifiedBy/>
  <dcterms:modified xsi:type="dcterms:W3CDTF">2026-09-30T12:13:50Z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